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DGP" sheetId="1" r:id="rId5"/>
    <sheet state="visible" name="1. ATT(1992,1981) Pre-trend" sheetId="2" r:id="rId6"/>
    <sheet state="visible" name="2. ATT(1986,1986) 1st Year" sheetId="3" r:id="rId7"/>
    <sheet state="visible" name="3. ATT(1992,1993) 2nd Year" sheetId="4" r:id="rId8"/>
    <sheet state="visible" name="4. Summary Comparison" sheetId="5" r:id="rId9"/>
  </sheets>
  <definedNames/>
  <calcPr/>
</workbook>
</file>

<file path=xl/sharedStrings.xml><?xml version="1.0" encoding="utf-8"?>
<sst xmlns="http://schemas.openxmlformats.org/spreadsheetml/2006/main" count="267" uniqueCount="101">
  <si>
    <t>IPW Estimator — Extended DGP with Covariate X</t>
  </si>
  <si>
    <t>15 units</t>
  </si>
  <si>
    <t>i</t>
  </si>
  <si>
    <t>3 years</t>
  </si>
  <si>
    <t>t</t>
  </si>
  <si>
    <t>2 groups treated</t>
  </si>
  <si>
    <t>g</t>
  </si>
  <si>
    <t>1 group never treated</t>
  </si>
  <si>
    <t>X</t>
  </si>
  <si>
    <t>large or small</t>
  </si>
  <si>
    <t>Three cells computed step by step in subsequent sheets</t>
  </si>
  <si>
    <t>Cell</t>
  </si>
  <si>
    <t>Base</t>
  </si>
  <si>
    <t>Type</t>
  </si>
  <si>
    <t>True ATT</t>
  </si>
  <si>
    <t>Simple DiD bias</t>
  </si>
  <si>
    <t>IPW bias</t>
  </si>
  <si>
    <t>ATT(1992,1981)</t>
  </si>
  <si>
    <t>Pre-trend test</t>
  </si>
  <si>
    <t>ATT(1986,1986)</t>
  </si>
  <si>
    <t>Post (yr 1)</t>
  </si>
  <si>
    <t>ATT(1992,1993)</t>
  </si>
  <si>
    <t>Post (yr 2)</t>
  </si>
  <si>
    <t>IPW Step-by-step: ATT(1992,1981) — Pre-treatment test</t>
  </si>
  <si>
    <t>[PRE-TREND TEST]  IPW Step-by-Step: ATT(1992,1981)   g=1992, t=1981, base period=t=1991</t>
  </si>
  <si>
    <t>STEP 2 — Unit-level ΔY and IPW weights  (only control units get weights; treated mean is unweighted)</t>
  </si>
  <si>
    <t>Unit</t>
  </si>
  <si>
    <t>Group</t>
  </si>
  <si>
    <t>Y(t=1981)</t>
  </si>
  <si>
    <t>Y(t=1991)</t>
  </si>
  <si>
    <t>ΔY = Y(1981)−Y(1991)</t>
  </si>
  <si>
    <t>p̂_g(X)</t>
  </si>
  <si>
    <t>w = p̂/(1-p̂)</t>
  </si>
  <si>
    <t>w × ΔY</t>
  </si>
  <si>
    <t>Role</t>
  </si>
  <si>
    <t>G=1992</t>
  </si>
  <si>
    <t>—</t>
  </si>
  <si>
    <t>TREATED</t>
  </si>
  <si>
    <t>Never</t>
  </si>
  <si>
    <t>CONTROL</t>
  </si>
  <si>
    <t>STEP 3 — Compute Term A (treated mean ΔY)  and  Term B (IPW-weighted control mean ΔY)</t>
  </si>
  <si>
    <t>Formula</t>
  </si>
  <si>
    <t>Values</t>
  </si>
  <si>
    <t>Result</t>
  </si>
  <si>
    <t>Term A</t>
  </si>
  <si>
    <t>(1/N_g) × Σ ΔY_i  =  (1/5) × (-40.155 + -39.952 + -19.963 + -20.343 + -20.122)</t>
  </si>
  <si>
    <t>sum = -140.535  /  5</t>
  </si>
  <si>
    <t>Term B  (SIMPLE,
unweighted)</t>
  </si>
  <si>
    <t>(1/N_c) × Σ ΔY_i  =  (1/5) × (-40.162 + -20.123 + -19.718 + -19.98 + -20.118)</t>
  </si>
  <si>
    <t>sum = -120.1014  /  5</t>
  </si>
  <si>
    <t>Term B  (IPW-
weighted)</t>
  </si>
  <si>
    <t>Σ(w_i·ΔY_i) / Σ(w_i)  =  (-80.3244 + -15.0923 + -14.7887 + -14.9847 + -15.0887) / 5.0</t>
  </si>
  <si>
    <t>sum_wdy = -140.2788  /  5.0</t>
  </si>
  <si>
    <t>STEP 4 — Final ATT: Compare Simple DiD vs IPW DiD vs True ATT</t>
  </si>
  <si>
    <t>Estimator</t>
  </si>
  <si>
    <t>Term B</t>
  </si>
  <si>
    <t>ATT = A−B</t>
  </si>
  <si>
    <t>Bias</t>
  </si>
  <si>
    <t>Verdict</t>
  </si>
  <si>
    <t>Simple DiD
(unweighted)</t>
  </si>
  <si>
    <t>BIASED ✗</t>
  </si>
  <si>
    <t>IPW DiD
(C&amp;S estimator)</t>
  </si>
  <si>
    <t>UNBIASED ✓</t>
  </si>
  <si>
    <t>IPW Step-by-step: ATT(1986,1986) — First post-treatment year for G=1986</t>
  </si>
  <si>
    <t>IPW Step-by-Step: ATT(1986,1986)   g=1986, t=1986, base period=t=1985</t>
  </si>
  <si>
    <t>Y(t=1986)</t>
  </si>
  <si>
    <t>Y(t=1985)</t>
  </si>
  <si>
    <t>ΔY = Y(1986)−Y(1985)</t>
  </si>
  <si>
    <t>p̂_g(X)=p(D=1|X=x)</t>
  </si>
  <si>
    <t>G=1986</t>
  </si>
  <si>
    <t>(1/N_g) × Σ ΔY_i  =  (1/5) × (14.195 + 13.887 + 13.873 + 11.712 + 12.442)</t>
  </si>
  <si>
    <t>sum = 66.11  /  5</t>
  </si>
  <si>
    <t>(1/N_c) × Σ ΔY_i  =  (1/5) × (3.614 + 2.001 + 2.701 + 2.147 + 2.367)</t>
  </si>
  <si>
    <t>sum = 12.8295  /  5</t>
  </si>
  <si>
    <t>Σ(w_i·ΔY_i) / Σ(w_i)  =  (10.8414 + 1.0006 + 1.3507 + 1.0733 + 1.1833) / 5.0</t>
  </si>
  <si>
    <t>sum_wdy = 15.4492  /  5.0</t>
  </si>
  <si>
    <t>IPW Step-by-step: ATT(1992,1993) — Second post-treatment year for G=1992</t>
  </si>
  <si>
    <t>IPW Step-by-Step: ATT(1992,1993)   g=1992, t=1993, base period=t=1991</t>
  </si>
  <si>
    <t>Y(t=1993)</t>
  </si>
  <si>
    <t>ΔY = Y(1993)−Y(1991)</t>
  </si>
  <si>
    <t>(1/N_g) × Σ ΔY_i  =  (1/5) × (23.917 + 24.23 + 19.935 + 20.46 + 19.62)</t>
  </si>
  <si>
    <t>sum = 108.1628  /  5</t>
  </si>
  <si>
    <t>(1/N_c) × Σ ΔY_i  =  (1/5) × (8.224 + 4.137 + 4.18 + 4.547 + 3.715)</t>
  </si>
  <si>
    <t>sum = 24.8037  /  5</t>
  </si>
  <si>
    <t>Σ(w_i·ΔY_i) / Σ(w_i)  =  (16.4485 + 3.1029 + 3.135 + 3.4106 + 2.7861) / 5.0</t>
  </si>
  <si>
    <t>sum_wdy = 28.8831  /  5.0</t>
  </si>
  <si>
    <t>Summary: Simple DiD vs IPW DiD — All Three Cells</t>
  </si>
  <si>
    <t>IPW is unbiased because it reweights the control group to match the treated cohort's X-distribution. Simple DiD is biased when X-compositions differ.</t>
  </si>
  <si>
    <t>Term A
(treated ΔY)</t>
  </si>
  <si>
    <t>Term B
(simple)</t>
  </si>
  <si>
    <t>Simple DiD</t>
  </si>
  <si>
    <t>Bias (S)</t>
  </si>
  <si>
    <t>Term B
(IPW)</t>
  </si>
  <si>
    <t>IPW DiD</t>
  </si>
  <si>
    <t>Bias (I)</t>
  </si>
  <si>
    <t>Pre-trend</t>
  </si>
  <si>
    <t>Post yr 1</t>
  </si>
  <si>
    <t>Post yr 2</t>
  </si>
  <si>
    <t>Bias decomposition: where does Simple DiD go wrong?</t>
  </si>
  <si>
    <t>G=1986: 60% large firms vs 20% in control. Large firms trend at +4/yr. Simple DiD uses unbalanced control → overcounts slow-trend small firms → Term B too low → ATT inflated. IPW upweights X=1 control (w=3.0) and downweights X=0 control (w=0.5) → corrected.</t>
  </si>
  <si>
    <t>G=1992: 40% large firms vs 20% in control. Same logic, smaller bias (less imbalance). IPW corrects via w=2.0 for X=1 and w=0.75 for X=0 control units.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</si>
</sst>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8B0000"/>
      <name val="Arial"/>
    </font>
    <font>
      <b/>
      <sz val="9.0"/>
      <color rgb="FF006400"/>
      <name val="Arial"/>
    </font>
    <font>
      <b/>
      <sz val="12.0"/>
      <color rgb="FFFFFFFF"/>
      <name val="Arial"/>
    </font>
    <font>
      <b/>
      <sz val="9.0"/>
      <color rgb="FFDDDDDD"/>
      <name val="Arial"/>
    </font>
    <font>
      <b/>
      <sz val="9.0"/>
      <color rgb="FFC55A11"/>
      <name val="Arial"/>
    </font>
    <font>
      <b/>
      <sz val="9.0"/>
      <color rgb="FF008080"/>
      <name val="Arial"/>
    </font>
    <font>
      <b/>
      <sz val="10.0"/>
      <color rgb="FFC55A11"/>
      <name val="Arial"/>
    </font>
    <font>
      <sz val="10.0"/>
      <color rgb="FF000000"/>
      <name val="Arial"/>
    </font>
    <font>
      <b/>
      <sz val="10.0"/>
      <color rgb="FF8B0000"/>
      <name val="Arial"/>
    </font>
    <font>
      <sz val="10.0"/>
      <color rgb="FF8B0000"/>
      <name val="Arial"/>
    </font>
    <font>
      <b/>
      <sz val="10.0"/>
      <color rgb="FF0064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5" fontId="13" numFmtId="2" xfId="0" applyAlignment="1" applyBorder="1" applyFont="1" applyNumberForma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0"/>
    </xf>
    <xf borderId="4" fillId="7" fontId="7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center" shrinkToFit="0" vertical="center" wrapText="0"/>
    </xf>
    <xf borderId="4" fillId="7" fontId="15" numFmtId="0" xfId="0" applyAlignment="1" applyBorder="1" applyFont="1">
      <alignment horizontal="center" shrinkToFit="0" vertical="center" wrapText="1"/>
    </xf>
    <xf borderId="4" fillId="7" fontId="16" numFmtId="0" xfId="0" applyAlignment="1" applyBorder="1" applyFont="1">
      <alignment horizontal="center" shrinkToFit="0" vertical="center" wrapText="1"/>
    </xf>
    <xf borderId="4" fillId="7" fontId="17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5" fontId="13" numFmtId="0" xfId="0" applyAlignment="1" applyBorder="1" applyFont="1">
      <alignment horizontal="center" shrinkToFit="0" vertical="center" wrapText="0"/>
    </xf>
    <xf borderId="4" fillId="6" fontId="13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4" fillId="4" fontId="15" numFmtId="0" xfId="0" applyAlignment="1" applyBorder="1" applyFont="1">
      <alignment horizontal="center" shrinkToFit="0" vertical="center" wrapText="0"/>
    </xf>
    <xf borderId="4" fillId="4" fontId="16" numFmtId="0" xfId="0" applyAlignment="1" applyBorder="1" applyFont="1">
      <alignment horizontal="center" shrinkToFit="0" vertical="center" wrapText="0"/>
    </xf>
    <xf borderId="4" fillId="4" fontId="18" numFmtId="0" xfId="0" applyAlignment="1" applyBorder="1" applyFont="1">
      <alignment horizontal="center" shrinkToFit="0" vertical="center" wrapText="0"/>
    </xf>
    <xf borderId="4" fillId="5" fontId="15" numFmtId="0" xfId="0" applyAlignment="1" applyBorder="1" applyFont="1">
      <alignment horizontal="center" shrinkToFit="0" vertical="center" wrapText="0"/>
    </xf>
    <xf borderId="4" fillId="5" fontId="16" numFmtId="0" xfId="0" applyAlignment="1" applyBorder="1" applyFont="1">
      <alignment horizontal="center" shrinkToFit="0" vertical="center" wrapText="0"/>
    </xf>
    <xf borderId="4" fillId="5" fontId="18" numFmtId="0" xfId="0" applyAlignment="1" applyBorder="1" applyFont="1">
      <alignment horizontal="center" shrinkToFit="0" vertical="center" wrapText="0"/>
    </xf>
    <xf borderId="6" fillId="8" fontId="7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6" fillId="9" fontId="6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8" width="8.0"/>
    <col customWidth="1" min="9" max="9" width="10.0"/>
    <col customWidth="1" min="10" max="12" width="14.0"/>
    <col customWidth="1" min="13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/>
    </row>
    <row r="6">
      <c r="A6" s="4" t="s">
        <v>8</v>
      </c>
      <c r="B6" s="4" t="s">
        <v>9</v>
      </c>
    </row>
    <row r="7">
      <c r="A7" s="5"/>
      <c r="B7" s="5"/>
    </row>
    <row r="9">
      <c r="A9" s="6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>
      <c r="A10" s="7" t="s">
        <v>11</v>
      </c>
      <c r="B10" s="7" t="s">
        <v>6</v>
      </c>
      <c r="C10" s="7" t="s">
        <v>4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16</v>
      </c>
    </row>
    <row r="11">
      <c r="A11" s="8" t="s">
        <v>17</v>
      </c>
      <c r="B11" s="8">
        <v>1992.0</v>
      </c>
      <c r="C11" s="8">
        <v>1981.0</v>
      </c>
      <c r="D11" s="8">
        <v>1991.0</v>
      </c>
      <c r="E11" s="8" t="s">
        <v>18</v>
      </c>
      <c r="F11" s="9">
        <v>0.0</v>
      </c>
      <c r="G11" s="10">
        <v>-4.087</v>
      </c>
      <c r="H11" s="11">
        <v>-0.051</v>
      </c>
    </row>
    <row r="12">
      <c r="A12" s="12" t="s">
        <v>19</v>
      </c>
      <c r="B12" s="12">
        <v>1986.0</v>
      </c>
      <c r="C12" s="12">
        <v>1986.0</v>
      </c>
      <c r="D12" s="12">
        <v>1985.0</v>
      </c>
      <c r="E12" s="12" t="s">
        <v>20</v>
      </c>
      <c r="F12" s="13">
        <v>10.0</v>
      </c>
      <c r="G12" s="14">
        <v>0.656</v>
      </c>
      <c r="H12" s="15">
        <v>0.132</v>
      </c>
    </row>
    <row r="13">
      <c r="A13" s="8" t="s">
        <v>21</v>
      </c>
      <c r="B13" s="8">
        <v>1992.0</v>
      </c>
      <c r="C13" s="8">
        <v>1993.0</v>
      </c>
      <c r="D13" s="8">
        <v>1991.0</v>
      </c>
      <c r="E13" s="8" t="s">
        <v>22</v>
      </c>
      <c r="F13" s="9">
        <v>16.0</v>
      </c>
      <c r="G13" s="10">
        <v>0.672</v>
      </c>
      <c r="H13" s="11">
        <v>-0.144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A1:L1"/>
    <mergeCell ref="A9:L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6.0"/>
    <col customWidth="1" min="3" max="3" width="20.0"/>
    <col customWidth="1" min="4" max="4" width="12.0"/>
    <col customWidth="1" min="5" max="9" width="8.0"/>
    <col customWidth="1" min="10" max="10" width="10.0"/>
    <col customWidth="1" min="11" max="26" width="8.71"/>
  </cols>
  <sheetData>
    <row r="1" ht="24.0" customHeight="1">
      <c r="A1" s="16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 ht="24.0" customHeight="1">
      <c r="A3" s="16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5" ht="18.0" customHeight="1">
      <c r="A5" s="17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ht="27.75" customHeight="1">
      <c r="A6" s="4" t="s">
        <v>26</v>
      </c>
      <c r="B6" s="4" t="s">
        <v>27</v>
      </c>
      <c r="C6" s="4" t="s">
        <v>8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</row>
    <row r="7">
      <c r="A7" s="8">
        <v>1.0</v>
      </c>
      <c r="B7" s="8" t="s">
        <v>35</v>
      </c>
      <c r="C7" s="8">
        <v>1.0</v>
      </c>
      <c r="D7" s="8">
        <v>49.604</v>
      </c>
      <c r="E7" s="8">
        <v>89.759</v>
      </c>
      <c r="F7" s="18">
        <v>-40.1547</v>
      </c>
      <c r="G7" s="8" t="s">
        <v>36</v>
      </c>
      <c r="H7" s="8" t="s">
        <v>36</v>
      </c>
      <c r="I7" s="8" t="s">
        <v>36</v>
      </c>
      <c r="J7" s="8" t="s">
        <v>37</v>
      </c>
    </row>
    <row r="8">
      <c r="A8" s="8">
        <v>2.0</v>
      </c>
      <c r="B8" s="8" t="s">
        <v>35</v>
      </c>
      <c r="C8" s="8">
        <v>1.0</v>
      </c>
      <c r="D8" s="8">
        <v>49.384</v>
      </c>
      <c r="E8" s="8">
        <v>89.336</v>
      </c>
      <c r="F8" s="18">
        <v>-39.952</v>
      </c>
      <c r="G8" s="8" t="s">
        <v>36</v>
      </c>
      <c r="H8" s="8" t="s">
        <v>36</v>
      </c>
      <c r="I8" s="8" t="s">
        <v>36</v>
      </c>
      <c r="J8" s="8" t="s">
        <v>37</v>
      </c>
    </row>
    <row r="9">
      <c r="A9" s="8">
        <v>3.0</v>
      </c>
      <c r="B9" s="8" t="s">
        <v>35</v>
      </c>
      <c r="C9" s="8">
        <v>0.0</v>
      </c>
      <c r="D9" s="8">
        <v>47.259</v>
      </c>
      <c r="E9" s="8">
        <v>67.222</v>
      </c>
      <c r="F9" s="18">
        <v>-19.9628</v>
      </c>
      <c r="G9" s="8" t="s">
        <v>36</v>
      </c>
      <c r="H9" s="8" t="s">
        <v>36</v>
      </c>
      <c r="I9" s="8" t="s">
        <v>36</v>
      </c>
      <c r="J9" s="8" t="s">
        <v>37</v>
      </c>
    </row>
    <row r="10">
      <c r="A10" s="8">
        <v>4.0</v>
      </c>
      <c r="B10" s="8" t="s">
        <v>35</v>
      </c>
      <c r="C10" s="8">
        <v>0.0</v>
      </c>
      <c r="D10" s="8">
        <v>46.285</v>
      </c>
      <c r="E10" s="8">
        <v>66.629</v>
      </c>
      <c r="F10" s="18">
        <v>-20.3432</v>
      </c>
      <c r="G10" s="8" t="s">
        <v>36</v>
      </c>
      <c r="H10" s="8" t="s">
        <v>36</v>
      </c>
      <c r="I10" s="8" t="s">
        <v>36</v>
      </c>
      <c r="J10" s="8" t="s">
        <v>37</v>
      </c>
    </row>
    <row r="11">
      <c r="A11" s="8">
        <v>5.0</v>
      </c>
      <c r="B11" s="8" t="s">
        <v>35</v>
      </c>
      <c r="C11" s="8">
        <v>0.0</v>
      </c>
      <c r="D11" s="8">
        <v>47.184</v>
      </c>
      <c r="E11" s="8">
        <v>67.306</v>
      </c>
      <c r="F11" s="18">
        <v>-20.1222</v>
      </c>
      <c r="G11" s="8" t="s">
        <v>36</v>
      </c>
      <c r="H11" s="8" t="s">
        <v>36</v>
      </c>
      <c r="I11" s="8" t="s">
        <v>36</v>
      </c>
      <c r="J11" s="8" t="s">
        <v>37</v>
      </c>
    </row>
    <row r="12">
      <c r="A12" s="12">
        <v>1.0</v>
      </c>
      <c r="B12" s="12" t="s">
        <v>38</v>
      </c>
      <c r="C12" s="12">
        <v>1.0</v>
      </c>
      <c r="D12" s="12">
        <v>52.439</v>
      </c>
      <c r="E12" s="12">
        <v>92.601</v>
      </c>
      <c r="F12" s="12">
        <v>-40.1622</v>
      </c>
      <c r="G12" s="12">
        <v>0.6667</v>
      </c>
      <c r="H12" s="19">
        <f t="shared" ref="H12:H16" si="1">G12/(1-G12)</f>
        <v>2.00030003</v>
      </c>
      <c r="I12" s="20">
        <v>-80.3244</v>
      </c>
      <c r="J12" s="12" t="s">
        <v>39</v>
      </c>
    </row>
    <row r="13">
      <c r="A13" s="21">
        <v>2.0</v>
      </c>
      <c r="B13" s="21" t="s">
        <v>38</v>
      </c>
      <c r="C13" s="21">
        <v>0.0</v>
      </c>
      <c r="D13" s="21">
        <v>49.816</v>
      </c>
      <c r="E13" s="21">
        <v>69.939</v>
      </c>
      <c r="F13" s="21">
        <v>-20.123</v>
      </c>
      <c r="G13" s="21">
        <v>0.4286</v>
      </c>
      <c r="H13" s="19">
        <f t="shared" si="1"/>
        <v>0.7500875044</v>
      </c>
      <c r="I13" s="22">
        <v>-15.0923</v>
      </c>
      <c r="J13" s="21" t="s">
        <v>39</v>
      </c>
    </row>
    <row r="14">
      <c r="A14" s="21">
        <v>3.0</v>
      </c>
      <c r="B14" s="21" t="s">
        <v>38</v>
      </c>
      <c r="C14" s="21">
        <v>0.0</v>
      </c>
      <c r="D14" s="21">
        <v>50.456</v>
      </c>
      <c r="E14" s="21">
        <v>70.175</v>
      </c>
      <c r="F14" s="21">
        <v>-19.7183</v>
      </c>
      <c r="G14" s="21">
        <v>0.4286</v>
      </c>
      <c r="H14" s="19">
        <f t="shared" si="1"/>
        <v>0.7500875044</v>
      </c>
      <c r="I14" s="22">
        <v>-14.7887</v>
      </c>
      <c r="J14" s="21" t="s">
        <v>39</v>
      </c>
    </row>
    <row r="15">
      <c r="A15" s="21">
        <v>4.0</v>
      </c>
      <c r="B15" s="21" t="s">
        <v>38</v>
      </c>
      <c r="C15" s="21">
        <v>0.0</v>
      </c>
      <c r="D15" s="21">
        <v>50.488</v>
      </c>
      <c r="E15" s="21">
        <v>70.468</v>
      </c>
      <c r="F15" s="21">
        <v>-19.9796</v>
      </c>
      <c r="G15" s="21">
        <v>0.4286</v>
      </c>
      <c r="H15" s="19">
        <f t="shared" si="1"/>
        <v>0.7500875044</v>
      </c>
      <c r="I15" s="22">
        <v>-14.9847</v>
      </c>
      <c r="J15" s="21" t="s">
        <v>39</v>
      </c>
    </row>
    <row r="16" ht="15.75" customHeight="1">
      <c r="A16" s="21">
        <v>5.0</v>
      </c>
      <c r="B16" s="21" t="s">
        <v>38</v>
      </c>
      <c r="C16" s="21">
        <v>0.0</v>
      </c>
      <c r="D16" s="21">
        <v>49.983</v>
      </c>
      <c r="E16" s="21">
        <v>70.102</v>
      </c>
      <c r="F16" s="21">
        <v>-20.1183</v>
      </c>
      <c r="G16" s="21">
        <v>0.4286</v>
      </c>
      <c r="H16" s="19">
        <f t="shared" si="1"/>
        <v>0.7500875044</v>
      </c>
      <c r="I16" s="22">
        <v>-15.0887</v>
      </c>
      <c r="J16" s="21" t="s">
        <v>39</v>
      </c>
    </row>
    <row r="17" ht="15.75" customHeight="1"/>
    <row r="18" ht="18.0" customHeight="1">
      <c r="A18" s="17" t="s">
        <v>40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 ht="15.75" customHeight="1">
      <c r="A19" s="7"/>
      <c r="B19" s="7" t="s">
        <v>41</v>
      </c>
      <c r="C19" s="7" t="s">
        <v>42</v>
      </c>
      <c r="D19" s="7" t="s">
        <v>43</v>
      </c>
      <c r="E19" s="23"/>
    </row>
    <row r="20" ht="27.75" customHeight="1">
      <c r="A20" s="24" t="s">
        <v>44</v>
      </c>
      <c r="B20" s="25" t="s">
        <v>45</v>
      </c>
      <c r="C20" s="25" t="s">
        <v>46</v>
      </c>
      <c r="D20" s="26">
        <v>-28.107</v>
      </c>
    </row>
    <row r="21" ht="27.75" customHeight="1">
      <c r="A21" s="27" t="s">
        <v>47</v>
      </c>
      <c r="B21" s="28" t="s">
        <v>48</v>
      </c>
      <c r="C21" s="28" t="s">
        <v>49</v>
      </c>
      <c r="D21" s="29">
        <v>-24.0203</v>
      </c>
    </row>
    <row r="22" ht="27.75" customHeight="1">
      <c r="A22" s="30" t="s">
        <v>50</v>
      </c>
      <c r="B22" s="31" t="s">
        <v>51</v>
      </c>
      <c r="C22" s="31" t="s">
        <v>52</v>
      </c>
      <c r="D22" s="32">
        <v>-28.0558</v>
      </c>
    </row>
    <row r="23" ht="15.75" customHeight="1"/>
    <row r="24" ht="18.0" customHeight="1">
      <c r="A24" s="17" t="s">
        <v>53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</row>
    <row r="25" ht="15.75" customHeight="1">
      <c r="A25" s="7" t="s">
        <v>54</v>
      </c>
      <c r="B25" s="7" t="s">
        <v>44</v>
      </c>
      <c r="C25" s="7" t="s">
        <v>55</v>
      </c>
      <c r="D25" s="7" t="s">
        <v>56</v>
      </c>
      <c r="E25" s="7" t="s">
        <v>14</v>
      </c>
      <c r="F25" s="7" t="s">
        <v>57</v>
      </c>
      <c r="G25" s="7" t="s">
        <v>58</v>
      </c>
    </row>
    <row r="26" ht="27.75" customHeight="1">
      <c r="A26" s="33" t="s">
        <v>59</v>
      </c>
      <c r="B26" s="33">
        <v>-28.107</v>
      </c>
      <c r="C26" s="33">
        <v>-24.0203</v>
      </c>
      <c r="D26" s="34">
        <v>-4.0867</v>
      </c>
      <c r="E26" s="33">
        <v>0.0</v>
      </c>
      <c r="F26" s="35">
        <v>-4.0867</v>
      </c>
      <c r="G26" s="34" t="s">
        <v>60</v>
      </c>
    </row>
    <row r="27" ht="27.75" customHeight="1">
      <c r="A27" s="36" t="s">
        <v>61</v>
      </c>
      <c r="B27" s="36">
        <v>-28.107</v>
      </c>
      <c r="C27" s="36">
        <v>-28.0558</v>
      </c>
      <c r="D27" s="37">
        <v>-0.0512</v>
      </c>
      <c r="E27" s="36">
        <v>0.0</v>
      </c>
      <c r="F27" s="38">
        <v>-0.0512</v>
      </c>
      <c r="G27" s="37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A1:P1"/>
    <mergeCell ref="A3:P3"/>
    <mergeCell ref="A5:P5"/>
    <mergeCell ref="A18:P18"/>
    <mergeCell ref="A24:P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6.0"/>
    <col customWidth="1" min="3" max="3" width="20.0"/>
    <col customWidth="1" min="4" max="4" width="12.0"/>
    <col customWidth="1" min="5" max="9" width="8.0"/>
    <col customWidth="1" min="10" max="10" width="10.0"/>
    <col customWidth="1" min="11" max="26" width="8.71"/>
  </cols>
  <sheetData>
    <row r="1" ht="24.0" customHeight="1">
      <c r="A1" s="16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 ht="24.0" customHeight="1">
      <c r="A3" s="16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5" ht="18.0" customHeight="1">
      <c r="A5" s="17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ht="49.5" customHeight="1">
      <c r="A6" s="4" t="s">
        <v>26</v>
      </c>
      <c r="B6" s="4" t="s">
        <v>27</v>
      </c>
      <c r="C6" s="4" t="s">
        <v>8</v>
      </c>
      <c r="D6" s="4" t="s">
        <v>65</v>
      </c>
      <c r="E6" s="4" t="s">
        <v>66</v>
      </c>
      <c r="F6" s="4" t="s">
        <v>67</v>
      </c>
      <c r="G6" s="39" t="s">
        <v>68</v>
      </c>
      <c r="H6" s="4" t="s">
        <v>32</v>
      </c>
      <c r="I6" s="4" t="s">
        <v>33</v>
      </c>
      <c r="J6" s="4" t="s">
        <v>34</v>
      </c>
    </row>
    <row r="7">
      <c r="A7" s="12">
        <v>1.0</v>
      </c>
      <c r="B7" s="12" t="s">
        <v>69</v>
      </c>
      <c r="C7" s="12">
        <v>1.0</v>
      </c>
      <c r="D7" s="12">
        <v>84.815</v>
      </c>
      <c r="E7" s="12">
        <v>70.62</v>
      </c>
      <c r="F7" s="20">
        <v>14.1952</v>
      </c>
      <c r="G7" s="12" t="s">
        <v>36</v>
      </c>
      <c r="H7" s="12" t="s">
        <v>36</v>
      </c>
      <c r="I7" s="12" t="s">
        <v>36</v>
      </c>
      <c r="J7" s="12" t="s">
        <v>37</v>
      </c>
    </row>
    <row r="8">
      <c r="A8" s="12">
        <v>2.0</v>
      </c>
      <c r="B8" s="12" t="s">
        <v>69</v>
      </c>
      <c r="C8" s="12">
        <v>1.0</v>
      </c>
      <c r="D8" s="12">
        <v>83.99</v>
      </c>
      <c r="E8" s="12">
        <v>70.103</v>
      </c>
      <c r="F8" s="20">
        <v>13.8871</v>
      </c>
      <c r="G8" s="12" t="s">
        <v>36</v>
      </c>
      <c r="H8" s="12" t="s">
        <v>36</v>
      </c>
      <c r="I8" s="12" t="s">
        <v>36</v>
      </c>
      <c r="J8" s="12" t="s">
        <v>37</v>
      </c>
    </row>
    <row r="9">
      <c r="A9" s="12">
        <v>3.0</v>
      </c>
      <c r="B9" s="12" t="s">
        <v>69</v>
      </c>
      <c r="C9" s="12">
        <v>1.0</v>
      </c>
      <c r="D9" s="12">
        <v>83.788</v>
      </c>
      <c r="E9" s="12">
        <v>69.914</v>
      </c>
      <c r="F9" s="20">
        <v>13.8732</v>
      </c>
      <c r="G9" s="12" t="s">
        <v>36</v>
      </c>
      <c r="H9" s="12" t="s">
        <v>36</v>
      </c>
      <c r="I9" s="12" t="s">
        <v>36</v>
      </c>
      <c r="J9" s="12" t="s">
        <v>37</v>
      </c>
    </row>
    <row r="10">
      <c r="A10" s="12">
        <v>4.0</v>
      </c>
      <c r="B10" s="12" t="s">
        <v>69</v>
      </c>
      <c r="C10" s="12">
        <v>0.0</v>
      </c>
      <c r="D10" s="12">
        <v>71.41</v>
      </c>
      <c r="E10" s="12">
        <v>59.698</v>
      </c>
      <c r="F10" s="20">
        <v>11.7122</v>
      </c>
      <c r="G10" s="12" t="s">
        <v>36</v>
      </c>
      <c r="H10" s="12" t="s">
        <v>36</v>
      </c>
      <c r="I10" s="12" t="s">
        <v>36</v>
      </c>
      <c r="J10" s="12" t="s">
        <v>37</v>
      </c>
    </row>
    <row r="11">
      <c r="A11" s="12">
        <v>5.0</v>
      </c>
      <c r="B11" s="12" t="s">
        <v>69</v>
      </c>
      <c r="C11" s="12">
        <v>0.0</v>
      </c>
      <c r="D11" s="12">
        <v>72.283</v>
      </c>
      <c r="E11" s="12">
        <v>59.841</v>
      </c>
      <c r="F11" s="20">
        <v>12.4423</v>
      </c>
      <c r="G11" s="12" t="s">
        <v>36</v>
      </c>
      <c r="H11" s="12" t="s">
        <v>36</v>
      </c>
      <c r="I11" s="12" t="s">
        <v>36</v>
      </c>
      <c r="J11" s="12" t="s">
        <v>37</v>
      </c>
    </row>
    <row r="12">
      <c r="A12" s="12">
        <v>1.0</v>
      </c>
      <c r="B12" s="12" t="s">
        <v>38</v>
      </c>
      <c r="C12" s="12">
        <v>1.0</v>
      </c>
      <c r="D12" s="12">
        <v>72.409</v>
      </c>
      <c r="E12" s="12">
        <v>68.796</v>
      </c>
      <c r="F12" s="12">
        <v>3.6138</v>
      </c>
      <c r="G12" s="12">
        <v>0.75</v>
      </c>
      <c r="H12" s="40">
        <v>3.0</v>
      </c>
      <c r="I12" s="20">
        <v>10.8414</v>
      </c>
      <c r="J12" s="12" t="s">
        <v>39</v>
      </c>
    </row>
    <row r="13">
      <c r="A13" s="21">
        <v>2.0</v>
      </c>
      <c r="B13" s="21" t="s">
        <v>38</v>
      </c>
      <c r="C13" s="21">
        <v>0.0</v>
      </c>
      <c r="D13" s="21">
        <v>60.11</v>
      </c>
      <c r="E13" s="21">
        <v>58.109</v>
      </c>
      <c r="F13" s="21">
        <v>2.0011</v>
      </c>
      <c r="G13" s="21">
        <v>0.3333</v>
      </c>
      <c r="H13" s="41">
        <v>0.5</v>
      </c>
      <c r="I13" s="22">
        <v>1.0006</v>
      </c>
      <c r="J13" s="21" t="s">
        <v>39</v>
      </c>
    </row>
    <row r="14">
      <c r="A14" s="21">
        <v>3.0</v>
      </c>
      <c r="B14" s="21" t="s">
        <v>38</v>
      </c>
      <c r="C14" s="21">
        <v>0.0</v>
      </c>
      <c r="D14" s="21">
        <v>60.633</v>
      </c>
      <c r="E14" s="21">
        <v>57.932</v>
      </c>
      <c r="F14" s="21">
        <v>2.7014</v>
      </c>
      <c r="G14" s="21">
        <v>0.3333</v>
      </c>
      <c r="H14" s="41">
        <v>0.5</v>
      </c>
      <c r="I14" s="22">
        <v>1.3507</v>
      </c>
      <c r="J14" s="21" t="s">
        <v>39</v>
      </c>
    </row>
    <row r="15">
      <c r="A15" s="21">
        <v>4.0</v>
      </c>
      <c r="B15" s="21" t="s">
        <v>38</v>
      </c>
      <c r="C15" s="21">
        <v>0.0</v>
      </c>
      <c r="D15" s="21">
        <v>60.273</v>
      </c>
      <c r="E15" s="21">
        <v>58.126</v>
      </c>
      <c r="F15" s="21">
        <v>2.1467</v>
      </c>
      <c r="G15" s="21">
        <v>0.3333</v>
      </c>
      <c r="H15" s="41">
        <v>0.5</v>
      </c>
      <c r="I15" s="22">
        <v>1.0733</v>
      </c>
      <c r="J15" s="21" t="s">
        <v>39</v>
      </c>
    </row>
    <row r="16" ht="15.75" customHeight="1">
      <c r="A16" s="21">
        <v>5.0</v>
      </c>
      <c r="B16" s="21" t="s">
        <v>38</v>
      </c>
      <c r="C16" s="21">
        <v>0.0</v>
      </c>
      <c r="D16" s="21">
        <v>60.141</v>
      </c>
      <c r="E16" s="21">
        <v>57.774</v>
      </c>
      <c r="F16" s="21">
        <v>2.3666</v>
      </c>
      <c r="G16" s="21">
        <v>0.3333</v>
      </c>
      <c r="H16" s="41">
        <v>0.5</v>
      </c>
      <c r="I16" s="22">
        <v>1.1833</v>
      </c>
      <c r="J16" s="21" t="s">
        <v>39</v>
      </c>
    </row>
    <row r="17" ht="15.75" customHeight="1"/>
    <row r="18" ht="18.0" customHeight="1">
      <c r="A18" s="17" t="s">
        <v>40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 ht="15.75" customHeight="1">
      <c r="A19" s="7"/>
      <c r="B19" s="7" t="s">
        <v>41</v>
      </c>
      <c r="C19" s="7" t="s">
        <v>42</v>
      </c>
      <c r="D19" s="7" t="s">
        <v>43</v>
      </c>
      <c r="E19" s="23"/>
    </row>
    <row r="20" ht="27.75" customHeight="1">
      <c r="A20" s="42" t="s">
        <v>44</v>
      </c>
      <c r="B20" s="43" t="s">
        <v>70</v>
      </c>
      <c r="C20" s="43" t="s">
        <v>71</v>
      </c>
      <c r="D20" s="44">
        <v>13.222</v>
      </c>
    </row>
    <row r="21" ht="27.75" customHeight="1">
      <c r="A21" s="27" t="s">
        <v>47</v>
      </c>
      <c r="B21" s="28" t="s">
        <v>72</v>
      </c>
      <c r="C21" s="28" t="s">
        <v>73</v>
      </c>
      <c r="D21" s="29">
        <v>2.5659</v>
      </c>
    </row>
    <row r="22" ht="27.75" customHeight="1">
      <c r="A22" s="30" t="s">
        <v>50</v>
      </c>
      <c r="B22" s="31" t="s">
        <v>74</v>
      </c>
      <c r="C22" s="31" t="s">
        <v>75</v>
      </c>
      <c r="D22" s="32">
        <v>3.0898</v>
      </c>
    </row>
    <row r="23" ht="15.75" customHeight="1"/>
    <row r="24" ht="18.0" customHeight="1">
      <c r="A24" s="17" t="s">
        <v>53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</row>
    <row r="25" ht="15.75" customHeight="1">
      <c r="A25" s="7" t="s">
        <v>54</v>
      </c>
      <c r="B25" s="7" t="s">
        <v>44</v>
      </c>
      <c r="C25" s="7" t="s">
        <v>55</v>
      </c>
      <c r="D25" s="7" t="s">
        <v>56</v>
      </c>
      <c r="E25" s="7" t="s">
        <v>14</v>
      </c>
      <c r="F25" s="7" t="s">
        <v>57</v>
      </c>
      <c r="G25" s="7" t="s">
        <v>58</v>
      </c>
    </row>
    <row r="26" ht="27.75" customHeight="1">
      <c r="A26" s="33" t="s">
        <v>59</v>
      </c>
      <c r="B26" s="33">
        <v>13.222</v>
      </c>
      <c r="C26" s="33">
        <v>2.5659</v>
      </c>
      <c r="D26" s="34">
        <v>10.6561</v>
      </c>
      <c r="E26" s="33">
        <v>10.0</v>
      </c>
      <c r="F26" s="35">
        <v>0.6561</v>
      </c>
      <c r="G26" s="34" t="s">
        <v>60</v>
      </c>
    </row>
    <row r="27" ht="27.75" customHeight="1">
      <c r="A27" s="36" t="s">
        <v>61</v>
      </c>
      <c r="B27" s="36">
        <v>13.222</v>
      </c>
      <c r="C27" s="36">
        <v>3.0898</v>
      </c>
      <c r="D27" s="37">
        <v>10.1322</v>
      </c>
      <c r="E27" s="36">
        <v>10.0</v>
      </c>
      <c r="F27" s="38">
        <v>0.1322</v>
      </c>
      <c r="G27" s="37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A1:P1"/>
    <mergeCell ref="A3:P3"/>
    <mergeCell ref="A5:P5"/>
    <mergeCell ref="A18:P18"/>
    <mergeCell ref="A24:P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6.0"/>
    <col customWidth="1" min="3" max="3" width="20.0"/>
    <col customWidth="1" min="4" max="4" width="12.0"/>
    <col customWidth="1" min="5" max="9" width="8.0"/>
    <col customWidth="1" min="10" max="10" width="10.0"/>
    <col customWidth="1" min="11" max="26" width="8.71"/>
  </cols>
  <sheetData>
    <row r="1" ht="24.0" customHeight="1">
      <c r="A1" s="16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 ht="24.0" customHeight="1">
      <c r="A3" s="16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5" ht="18.0" customHeight="1">
      <c r="A5" s="17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ht="27.75" customHeight="1">
      <c r="A6" s="4" t="s">
        <v>26</v>
      </c>
      <c r="B6" s="4" t="s">
        <v>27</v>
      </c>
      <c r="C6" s="4" t="s">
        <v>8</v>
      </c>
      <c r="D6" s="4" t="s">
        <v>78</v>
      </c>
      <c r="E6" s="4" t="s">
        <v>29</v>
      </c>
      <c r="F6" s="4" t="s">
        <v>79</v>
      </c>
      <c r="G6" s="4" t="s">
        <v>31</v>
      </c>
      <c r="H6" s="4" t="s">
        <v>32</v>
      </c>
      <c r="I6" s="4" t="s">
        <v>33</v>
      </c>
      <c r="J6" s="4" t="s">
        <v>34</v>
      </c>
    </row>
    <row r="7">
      <c r="A7" s="8">
        <v>1.0</v>
      </c>
      <c r="B7" s="8" t="s">
        <v>35</v>
      </c>
      <c r="C7" s="8">
        <v>1.0</v>
      </c>
      <c r="D7" s="8">
        <v>113.676</v>
      </c>
      <c r="E7" s="8">
        <v>89.759</v>
      </c>
      <c r="F7" s="18">
        <v>23.9173</v>
      </c>
      <c r="G7" s="8" t="s">
        <v>36</v>
      </c>
      <c r="H7" s="8" t="s">
        <v>36</v>
      </c>
      <c r="I7" s="8" t="s">
        <v>36</v>
      </c>
      <c r="J7" s="8" t="s">
        <v>37</v>
      </c>
    </row>
    <row r="8">
      <c r="A8" s="8">
        <v>2.0</v>
      </c>
      <c r="B8" s="8" t="s">
        <v>35</v>
      </c>
      <c r="C8" s="8">
        <v>1.0</v>
      </c>
      <c r="D8" s="8">
        <v>113.567</v>
      </c>
      <c r="E8" s="8">
        <v>89.336</v>
      </c>
      <c r="F8" s="18">
        <v>24.2305</v>
      </c>
      <c r="G8" s="8" t="s">
        <v>36</v>
      </c>
      <c r="H8" s="8" t="s">
        <v>36</v>
      </c>
      <c r="I8" s="8" t="s">
        <v>36</v>
      </c>
      <c r="J8" s="8" t="s">
        <v>37</v>
      </c>
    </row>
    <row r="9">
      <c r="A9" s="8">
        <v>3.0</v>
      </c>
      <c r="B9" s="8" t="s">
        <v>35</v>
      </c>
      <c r="C9" s="8">
        <v>0.0</v>
      </c>
      <c r="D9" s="8">
        <v>87.157</v>
      </c>
      <c r="E9" s="8">
        <v>67.222</v>
      </c>
      <c r="F9" s="18">
        <v>19.9348</v>
      </c>
      <c r="G9" s="8" t="s">
        <v>36</v>
      </c>
      <c r="H9" s="8" t="s">
        <v>36</v>
      </c>
      <c r="I9" s="8" t="s">
        <v>36</v>
      </c>
      <c r="J9" s="8" t="s">
        <v>37</v>
      </c>
    </row>
    <row r="10">
      <c r="A10" s="8">
        <v>4.0</v>
      </c>
      <c r="B10" s="8" t="s">
        <v>35</v>
      </c>
      <c r="C10" s="8">
        <v>0.0</v>
      </c>
      <c r="D10" s="8">
        <v>87.089</v>
      </c>
      <c r="E10" s="8">
        <v>66.629</v>
      </c>
      <c r="F10" s="18">
        <v>20.46</v>
      </c>
      <c r="G10" s="8" t="s">
        <v>36</v>
      </c>
      <c r="H10" s="8" t="s">
        <v>36</v>
      </c>
      <c r="I10" s="8" t="s">
        <v>36</v>
      </c>
      <c r="J10" s="8" t="s">
        <v>37</v>
      </c>
    </row>
    <row r="11">
      <c r="A11" s="8">
        <v>5.0</v>
      </c>
      <c r="B11" s="8" t="s">
        <v>35</v>
      </c>
      <c r="C11" s="8">
        <v>0.0</v>
      </c>
      <c r="D11" s="8">
        <v>86.926</v>
      </c>
      <c r="E11" s="8">
        <v>67.306</v>
      </c>
      <c r="F11" s="18">
        <v>19.6202</v>
      </c>
      <c r="G11" s="8" t="s">
        <v>36</v>
      </c>
      <c r="H11" s="8" t="s">
        <v>36</v>
      </c>
      <c r="I11" s="8" t="s">
        <v>36</v>
      </c>
      <c r="J11" s="8" t="s">
        <v>37</v>
      </c>
    </row>
    <row r="12">
      <c r="A12" s="12">
        <v>1.0</v>
      </c>
      <c r="B12" s="12" t="s">
        <v>38</v>
      </c>
      <c r="C12" s="12">
        <v>1.0</v>
      </c>
      <c r="D12" s="12">
        <v>100.826</v>
      </c>
      <c r="E12" s="12">
        <v>92.601</v>
      </c>
      <c r="F12" s="12">
        <v>8.2242</v>
      </c>
      <c r="G12" s="12">
        <v>0.6667</v>
      </c>
      <c r="H12" s="40">
        <v>2.0</v>
      </c>
      <c r="I12" s="20">
        <v>16.4485</v>
      </c>
      <c r="J12" s="12" t="s">
        <v>39</v>
      </c>
    </row>
    <row r="13">
      <c r="A13" s="21">
        <v>2.0</v>
      </c>
      <c r="B13" s="21" t="s">
        <v>38</v>
      </c>
      <c r="C13" s="21">
        <v>0.0</v>
      </c>
      <c r="D13" s="21">
        <v>74.076</v>
      </c>
      <c r="E13" s="21">
        <v>69.939</v>
      </c>
      <c r="F13" s="21">
        <v>4.1372</v>
      </c>
      <c r="G13" s="21">
        <v>0.4286</v>
      </c>
      <c r="H13" s="41">
        <v>0.75</v>
      </c>
      <c r="I13" s="22">
        <v>3.1029</v>
      </c>
      <c r="J13" s="21" t="s">
        <v>39</v>
      </c>
    </row>
    <row r="14">
      <c r="A14" s="21">
        <v>3.0</v>
      </c>
      <c r="B14" s="21" t="s">
        <v>38</v>
      </c>
      <c r="C14" s="21">
        <v>0.0</v>
      </c>
      <c r="D14" s="21">
        <v>74.355</v>
      </c>
      <c r="E14" s="21">
        <v>70.175</v>
      </c>
      <c r="F14" s="21">
        <v>4.18</v>
      </c>
      <c r="G14" s="21">
        <v>0.4286</v>
      </c>
      <c r="H14" s="41">
        <v>0.75</v>
      </c>
      <c r="I14" s="22">
        <v>3.135</v>
      </c>
      <c r="J14" s="21" t="s">
        <v>39</v>
      </c>
    </row>
    <row r="15">
      <c r="A15" s="21">
        <v>4.0</v>
      </c>
      <c r="B15" s="21" t="s">
        <v>38</v>
      </c>
      <c r="C15" s="21">
        <v>0.0</v>
      </c>
      <c r="D15" s="21">
        <v>75.016</v>
      </c>
      <c r="E15" s="21">
        <v>70.468</v>
      </c>
      <c r="F15" s="21">
        <v>4.5475</v>
      </c>
      <c r="G15" s="21">
        <v>0.4286</v>
      </c>
      <c r="H15" s="41">
        <v>0.75</v>
      </c>
      <c r="I15" s="22">
        <v>3.4106</v>
      </c>
      <c r="J15" s="21" t="s">
        <v>39</v>
      </c>
    </row>
    <row r="16" ht="15.75" customHeight="1">
      <c r="A16" s="21">
        <v>5.0</v>
      </c>
      <c r="B16" s="21" t="s">
        <v>38</v>
      </c>
      <c r="C16" s="21">
        <v>0.0</v>
      </c>
      <c r="D16" s="21">
        <v>73.816</v>
      </c>
      <c r="E16" s="21">
        <v>70.102</v>
      </c>
      <c r="F16" s="21">
        <v>3.7148</v>
      </c>
      <c r="G16" s="21">
        <v>0.4286</v>
      </c>
      <c r="H16" s="41">
        <v>0.75</v>
      </c>
      <c r="I16" s="22">
        <v>2.7861</v>
      </c>
      <c r="J16" s="21" t="s">
        <v>39</v>
      </c>
    </row>
    <row r="17" ht="15.75" customHeight="1"/>
    <row r="18" ht="18.0" customHeight="1">
      <c r="A18" s="17" t="s">
        <v>40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 ht="15.75" customHeight="1">
      <c r="A19" s="7"/>
      <c r="B19" s="7" t="s">
        <v>41</v>
      </c>
      <c r="C19" s="7" t="s">
        <v>42</v>
      </c>
      <c r="D19" s="7" t="s">
        <v>43</v>
      </c>
      <c r="E19" s="23"/>
    </row>
    <row r="20" ht="27.75" customHeight="1">
      <c r="A20" s="24" t="s">
        <v>44</v>
      </c>
      <c r="B20" s="25" t="s">
        <v>80</v>
      </c>
      <c r="C20" s="25" t="s">
        <v>81</v>
      </c>
      <c r="D20" s="26">
        <v>21.6326</v>
      </c>
    </row>
    <row r="21" ht="27.75" customHeight="1">
      <c r="A21" s="27" t="s">
        <v>47</v>
      </c>
      <c r="B21" s="28" t="s">
        <v>82</v>
      </c>
      <c r="C21" s="28" t="s">
        <v>83</v>
      </c>
      <c r="D21" s="29">
        <v>4.9607</v>
      </c>
    </row>
    <row r="22" ht="27.75" customHeight="1">
      <c r="A22" s="30" t="s">
        <v>50</v>
      </c>
      <c r="B22" s="31" t="s">
        <v>84</v>
      </c>
      <c r="C22" s="31" t="s">
        <v>85</v>
      </c>
      <c r="D22" s="32">
        <v>5.7766</v>
      </c>
    </row>
    <row r="23" ht="15.75" customHeight="1"/>
    <row r="24" ht="18.0" customHeight="1">
      <c r="A24" s="17" t="s">
        <v>53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</row>
    <row r="25" ht="15.75" customHeight="1">
      <c r="A25" s="7" t="s">
        <v>54</v>
      </c>
      <c r="B25" s="7" t="s">
        <v>44</v>
      </c>
      <c r="C25" s="7" t="s">
        <v>55</v>
      </c>
      <c r="D25" s="7" t="s">
        <v>56</v>
      </c>
      <c r="E25" s="7" t="s">
        <v>14</v>
      </c>
      <c r="F25" s="7" t="s">
        <v>57</v>
      </c>
      <c r="G25" s="7" t="s">
        <v>58</v>
      </c>
    </row>
    <row r="26" ht="27.75" customHeight="1">
      <c r="A26" s="33" t="s">
        <v>59</v>
      </c>
      <c r="B26" s="33">
        <v>21.6326</v>
      </c>
      <c r="C26" s="33">
        <v>4.9607</v>
      </c>
      <c r="D26" s="34">
        <v>16.6718</v>
      </c>
      <c r="E26" s="33">
        <v>16.0</v>
      </c>
      <c r="F26" s="35">
        <v>0.6718</v>
      </c>
      <c r="G26" s="34" t="s">
        <v>60</v>
      </c>
    </row>
    <row r="27" ht="27.75" customHeight="1">
      <c r="A27" s="36" t="s">
        <v>61</v>
      </c>
      <c r="B27" s="36">
        <v>21.6326</v>
      </c>
      <c r="C27" s="36">
        <v>5.7766</v>
      </c>
      <c r="D27" s="37">
        <v>15.8559</v>
      </c>
      <c r="E27" s="36">
        <v>16.0</v>
      </c>
      <c r="F27" s="38">
        <v>-0.1441</v>
      </c>
      <c r="G27" s="37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A1:P1"/>
    <mergeCell ref="A3:P3"/>
    <mergeCell ref="A5:P5"/>
    <mergeCell ref="A18:P18"/>
    <mergeCell ref="A24:P2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0.0"/>
    <col customWidth="1" min="4" max="6" width="12.0"/>
    <col customWidth="1" min="7" max="7" width="10.0"/>
    <col customWidth="1" min="8" max="9" width="12.0"/>
    <col customWidth="1" min="10" max="10" width="10.0"/>
    <col customWidth="1" min="11" max="26" width="8.71"/>
  </cols>
  <sheetData>
    <row r="1" ht="25.5" customHeight="1">
      <c r="A1" s="1" t="s">
        <v>86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5" t="s">
        <v>87</v>
      </c>
      <c r="B2" s="2"/>
      <c r="C2" s="2"/>
      <c r="D2" s="2"/>
      <c r="E2" s="2"/>
      <c r="F2" s="2"/>
      <c r="G2" s="2"/>
      <c r="H2" s="2"/>
      <c r="I2" s="2"/>
      <c r="J2" s="3"/>
    </row>
    <row r="3" ht="31.5" customHeight="1">
      <c r="A3" s="4" t="s">
        <v>11</v>
      </c>
      <c r="B3" s="4" t="s">
        <v>13</v>
      </c>
      <c r="C3" s="4" t="s">
        <v>14</v>
      </c>
      <c r="D3" s="4" t="s">
        <v>88</v>
      </c>
      <c r="E3" s="4" t="s">
        <v>89</v>
      </c>
      <c r="F3" s="4" t="s">
        <v>90</v>
      </c>
      <c r="G3" s="4" t="s">
        <v>91</v>
      </c>
      <c r="H3" s="4" t="s">
        <v>92</v>
      </c>
      <c r="I3" s="4" t="s">
        <v>93</v>
      </c>
      <c r="J3" s="4" t="s">
        <v>94</v>
      </c>
    </row>
    <row r="4" ht="18.0" customHeight="1">
      <c r="A4" s="46" t="s">
        <v>17</v>
      </c>
      <c r="B4" s="46" t="s">
        <v>95</v>
      </c>
      <c r="C4" s="46">
        <v>0.0</v>
      </c>
      <c r="D4" s="46">
        <v>-28.107</v>
      </c>
      <c r="E4" s="46">
        <v>-24.0203</v>
      </c>
      <c r="F4" s="47">
        <v>-4.0867</v>
      </c>
      <c r="G4" s="47">
        <v>-4.0867</v>
      </c>
      <c r="H4" s="46">
        <v>-28.0558</v>
      </c>
      <c r="I4" s="48">
        <v>-0.0512</v>
      </c>
      <c r="J4" s="48">
        <v>-0.0512</v>
      </c>
    </row>
    <row r="5" ht="18.0" customHeight="1">
      <c r="A5" s="49" t="s">
        <v>19</v>
      </c>
      <c r="B5" s="49" t="s">
        <v>96</v>
      </c>
      <c r="C5" s="49">
        <v>10.0</v>
      </c>
      <c r="D5" s="49">
        <v>13.222</v>
      </c>
      <c r="E5" s="49">
        <v>2.5659</v>
      </c>
      <c r="F5" s="50">
        <v>10.6561</v>
      </c>
      <c r="G5" s="50">
        <v>0.6561</v>
      </c>
      <c r="H5" s="49">
        <v>3.0898</v>
      </c>
      <c r="I5" s="51">
        <v>10.1322</v>
      </c>
      <c r="J5" s="51">
        <v>0.1322</v>
      </c>
    </row>
    <row r="6" ht="18.0" customHeight="1">
      <c r="A6" s="46" t="s">
        <v>21</v>
      </c>
      <c r="B6" s="46" t="s">
        <v>97</v>
      </c>
      <c r="C6" s="46">
        <v>16.0</v>
      </c>
      <c r="D6" s="46">
        <v>21.6326</v>
      </c>
      <c r="E6" s="46">
        <v>4.9607</v>
      </c>
      <c r="F6" s="47">
        <v>16.6718</v>
      </c>
      <c r="G6" s="47">
        <v>0.6718</v>
      </c>
      <c r="H6" s="46">
        <v>5.7766</v>
      </c>
      <c r="I6" s="48">
        <v>15.8559</v>
      </c>
      <c r="J6" s="48">
        <v>-0.1441</v>
      </c>
    </row>
    <row r="8">
      <c r="A8" s="6" t="s">
        <v>98</v>
      </c>
      <c r="B8" s="2"/>
      <c r="C8" s="2"/>
      <c r="D8" s="2"/>
      <c r="E8" s="2"/>
      <c r="F8" s="2"/>
      <c r="G8" s="2"/>
      <c r="H8" s="2"/>
      <c r="I8" s="2"/>
      <c r="J8" s="3"/>
    </row>
    <row r="9" ht="31.5" customHeight="1">
      <c r="A9" s="52" t="s">
        <v>19</v>
      </c>
      <c r="B9" s="53"/>
      <c r="C9" s="54" t="s">
        <v>99</v>
      </c>
      <c r="D9" s="55"/>
      <c r="E9" s="55"/>
      <c r="F9" s="55"/>
      <c r="G9" s="55"/>
      <c r="H9" s="55"/>
      <c r="I9" s="55"/>
      <c r="J9" s="53"/>
    </row>
    <row r="10" ht="31.5" customHeight="1">
      <c r="A10" s="52" t="s">
        <v>21</v>
      </c>
      <c r="B10" s="53"/>
      <c r="C10" s="54" t="s">
        <v>100</v>
      </c>
      <c r="D10" s="55"/>
      <c r="E10" s="55"/>
      <c r="F10" s="55"/>
      <c r="G10" s="55"/>
      <c r="H10" s="55"/>
      <c r="I10" s="55"/>
      <c r="J10" s="5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0:B10"/>
    <mergeCell ref="C10:J10"/>
    <mergeCell ref="A1:J1"/>
    <mergeCell ref="A2:J2"/>
    <mergeCell ref="A8:J8"/>
    <mergeCell ref="A9:B9"/>
    <mergeCell ref="C9:J9"/>
  </mergeCells>
  <printOptions/>
  <pageMargins bottom="1.0" footer="0.0" header="0.0" left="0.75" right="0.75" top="1.0"/>
  <pageSetup paperSize="9" orientation="portrait"/>
  <drawing r:id="rId1"/>
</worksheet>
</file>